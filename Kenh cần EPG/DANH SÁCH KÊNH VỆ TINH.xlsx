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 latitude 9430\Documents\VSCode\EPG Excel baomoi\Kenh cần EPG\"/>
    </mc:Choice>
  </mc:AlternateContent>
  <xr:revisionPtr revIDLastSave="0" documentId="13_ncr:1_{BF648435-788A-4DB3-B3D7-DA92A95253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TC" sheetId="3" r:id="rId1"/>
  </sheets>
  <definedNames>
    <definedName name="_xlnm._FilterDatabase" localSheetId="0" hidden="1">VTC!$A$2:$G$64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3" i="3"/>
  <c r="F68" i="3"/>
  <c r="H66" i="3"/>
  <c r="H67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</calcChain>
</file>

<file path=xl/sharedStrings.xml><?xml version="1.0" encoding="utf-8"?>
<sst xmlns="http://schemas.openxmlformats.org/spreadsheetml/2006/main" count="214" uniqueCount="96">
  <si>
    <t>Tiêu chuẩn</t>
  </si>
  <si>
    <t>CA</t>
  </si>
  <si>
    <t>SD</t>
  </si>
  <si>
    <t>HD</t>
  </si>
  <si>
    <t>VTV9</t>
  </si>
  <si>
    <t>FTA</t>
  </si>
  <si>
    <t>Ghi chú</t>
  </si>
  <si>
    <t>QPVN HD</t>
  </si>
  <si>
    <t>Bit rate Video</t>
  </si>
  <si>
    <t>VTV5</t>
  </si>
  <si>
    <t>SCTV9</t>
  </si>
  <si>
    <t>VTV2</t>
  </si>
  <si>
    <t>Service ID</t>
  </si>
  <si>
    <t>ON FOOTBALL</t>
  </si>
  <si>
    <t>VINH LONG 1 HD</t>
  </si>
  <si>
    <t>VINH LONG 2 HD</t>
  </si>
  <si>
    <t>ON SPORT NEWS</t>
  </si>
  <si>
    <t>HA NOI 1</t>
  </si>
  <si>
    <t>HA NOI 2</t>
  </si>
  <si>
    <t>THANH HOA</t>
  </si>
  <si>
    <t>DONG NAI 1</t>
  </si>
  <si>
    <t>DONG NAI 2</t>
  </si>
  <si>
    <t>QUANG TRI</t>
  </si>
  <si>
    <t>VOV1</t>
  </si>
  <si>
    <t>VOV3</t>
  </si>
  <si>
    <t>VOV2</t>
  </si>
  <si>
    <t>RADIO</t>
  </si>
  <si>
    <t>SƠN LA RADIO</t>
  </si>
  <si>
    <t>THÁI NGUYÊN RADIO</t>
  </si>
  <si>
    <t>LÂM ĐỒNG RADIO</t>
  </si>
  <si>
    <t>LÀO CAO RAIDO</t>
  </si>
  <si>
    <t>LÀO CAI DÂN TỘC RADIO</t>
  </si>
  <si>
    <t>BẮC NINH RADIO</t>
  </si>
  <si>
    <t>NGHỆ AN RADIO</t>
  </si>
  <si>
    <t>LAI CHAU RADIO</t>
  </si>
  <si>
    <t>PHU THO RADIO</t>
  </si>
  <si>
    <t>QUANG NINH RADIO</t>
  </si>
  <si>
    <t>ON SPORTS</t>
  </si>
  <si>
    <t>DVB-S2</t>
  </si>
  <si>
    <t>8PSK</t>
  </si>
  <si>
    <t>3/4</t>
  </si>
  <si>
    <t>HTV2</t>
  </si>
  <si>
    <t>ANTV HD</t>
  </si>
  <si>
    <t>VTV3</t>
  </si>
  <si>
    <t>THANH HÓA RADIO</t>
  </si>
  <si>
    <t>DAKLAK RADIO</t>
  </si>
  <si>
    <t>VIETNAM TODAY</t>
  </si>
  <si>
    <t>VTV1</t>
  </si>
  <si>
    <t>VTVcab8-BIBI</t>
  </si>
  <si>
    <t>SCTV14</t>
  </si>
  <si>
    <t>BAC NINH</t>
  </si>
  <si>
    <t>PHU THO</t>
  </si>
  <si>
    <t>LAO CAI</t>
  </si>
  <si>
    <t>SON LA</t>
  </si>
  <si>
    <t>TUYEN QUANG</t>
  </si>
  <si>
    <t>CAO BANG</t>
  </si>
  <si>
    <t>DAKLAK</t>
  </si>
  <si>
    <t>LAM DONG</t>
  </si>
  <si>
    <t>LAI CHAU</t>
  </si>
  <si>
    <t>NGHE AN</t>
  </si>
  <si>
    <t>THAI NGUYEN</t>
  </si>
  <si>
    <t>NINH BINH</t>
  </si>
  <si>
    <t>QUANG NINH 1</t>
  </si>
  <si>
    <t>QUANG NINH 3</t>
  </si>
  <si>
    <t>HAI PHONG 1</t>
  </si>
  <si>
    <t>HAI PHONG 3</t>
  </si>
  <si>
    <t>AN GIANG 1</t>
  </si>
  <si>
    <t>AN GIANG 3</t>
  </si>
  <si>
    <t>TT</t>
  </si>
  <si>
    <t>Thông số</t>
  </si>
  <si>
    <t>TUYEN QUANG RADIO</t>
  </si>
  <si>
    <t>LÂM ĐỒNG FM</t>
  </si>
  <si>
    <t>Tên kênh</t>
  </si>
  <si>
    <t>Bộ phát đáp 1</t>
  </si>
  <si>
    <t xml:space="preserve">Kênh </t>
  </si>
  <si>
    <t>Vệ tinh</t>
  </si>
  <si>
    <t>Vinasat-1</t>
  </si>
  <si>
    <t>Tần số trung tâm thu</t>
  </si>
  <si>
    <t>Băng thông (Mhz)</t>
  </si>
  <si>
    <t>Tốc độ bit (Mbps)</t>
  </si>
  <si>
    <t>Phân cực thu</t>
  </si>
  <si>
    <t>H</t>
  </si>
  <si>
    <t>Tốc độ mẫu</t>
  </si>
  <si>
    <t>Truyền dẫn</t>
  </si>
  <si>
    <t>Điều biến</t>
  </si>
  <si>
    <t>FEC</t>
  </si>
  <si>
    <t>Băng thông khóa mã</t>
  </si>
  <si>
    <t>Null</t>
  </si>
  <si>
    <t>Báo hiệu</t>
  </si>
  <si>
    <t>Bắt buộc</t>
  </si>
  <si>
    <t>TỔNG BĂNG THÔNG</t>
  </si>
  <si>
    <t>44TV, 18 FM</t>
  </si>
  <si>
    <t>Tỷ lệ phân bổ/1TP</t>
  </si>
  <si>
    <t>VTV10</t>
  </si>
  <si>
    <t>VTV6</t>
  </si>
  <si>
    <t>LAM DONG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</si>
</sst>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2"/>
      <color theme="1"/>
      <name val="Times New Roman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Times New Roman"/>
      <family val="2"/>
    </font>
    <font>
      <sz val="11"/>
      <color rgb="FF0061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2"/>
      <name val="Times New Roman"/>
      <family val="1"/>
    </font>
    <font>
      <b/>
      <sz val="12"/>
      <color rgb="FF00B050"/>
      <name val="Times New Roman"/>
      <family val="1"/>
    </font>
    <font>
      <sz val="12"/>
      <color rgb="FF00B050"/>
      <name val="Times New Roman"/>
      <family val="1"/>
    </font>
    <font>
      <sz val="12"/>
      <color theme="1"/>
      <name val="Times New Roman"/>
      <family val="2"/>
    </font>
    <font>
      <u/>
      <sz val="12"/>
      <color theme="1"/>
      <name val="Times New Roman"/>
      <family val="1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096E6"/>
        <bgColor indexed="64"/>
      </patternFill>
    </fill>
    <fill>
      <patternFill patternType="solid">
        <fgColor rgb="FFD2DDF5"/>
        <bgColor indexed="64"/>
      </patternFill>
    </fill>
    <fill>
      <patternFill patternType="solid">
        <fgColor rgb="FFEAEFF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2">
    <xf numFmtId="0" fontId="0" fillId="0" borderId="0"/>
    <xf numFmtId="0" fontId="8" fillId="2" borderId="0" applyNumberFormat="0" applyBorder="0" applyAlignment="0" applyProtection="0"/>
    <xf numFmtId="0" fontId="9" fillId="3" borderId="5" applyNumberFormat="0" applyAlignment="0" applyProtection="0"/>
    <xf numFmtId="0" fontId="4" fillId="4" borderId="0" applyNumberFormat="0" applyBorder="0" applyAlignment="0" applyProtection="0"/>
    <xf numFmtId="0" fontId="13" fillId="0" borderId="0"/>
    <xf numFmtId="0" fontId="8" fillId="2" borderId="0" applyNumberFormat="0" applyBorder="0" applyAlignment="0" applyProtection="0"/>
    <xf numFmtId="0" fontId="2" fillId="4" borderId="0" applyNumberFormat="0" applyBorder="0" applyAlignment="0" applyProtection="0"/>
    <xf numFmtId="0" fontId="9" fillId="3" borderId="5" applyNumberFormat="0" applyAlignment="0" applyProtection="0"/>
    <xf numFmtId="9" fontId="13" fillId="0" borderId="0" applyFont="0" applyFill="0" applyBorder="0" applyAlignment="0" applyProtection="0"/>
    <xf numFmtId="0" fontId="3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</cellStyleXfs>
  <cellXfs count="62">
    <xf numFmtId="0" fontId="0" fillId="0" borderId="0" xfId="0"/>
    <xf numFmtId="0" fontId="6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/>
    <xf numFmtId="0" fontId="6" fillId="7" borderId="1" xfId="1" applyFont="1" applyFill="1" applyBorder="1" applyAlignment="1">
      <alignment horizontal="center"/>
    </xf>
    <xf numFmtId="0" fontId="6" fillId="7" borderId="6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5" xfId="2" applyFont="1" applyFill="1" applyAlignment="1">
      <alignment horizontal="center"/>
    </xf>
    <xf numFmtId="0" fontId="6" fillId="7" borderId="5" xfId="2" applyFont="1" applyFill="1" applyAlignment="1">
      <alignment horizontal="center" vertical="center" wrapText="1"/>
    </xf>
    <xf numFmtId="0" fontId="12" fillId="0" borderId="1" xfId="3" applyFont="1" applyFill="1" applyBorder="1" applyAlignment="1">
      <alignment horizontal="justify" vertical="center"/>
    </xf>
    <xf numFmtId="0" fontId="12" fillId="0" borderId="1" xfId="3" applyFont="1" applyFill="1" applyBorder="1" applyAlignment="1">
      <alignment horizontal="center"/>
    </xf>
    <xf numFmtId="0" fontId="12" fillId="0" borderId="1" xfId="3" applyFont="1" applyFill="1" applyBorder="1" applyAlignment="1">
      <alignment horizontal="center" vertical="center" wrapText="1"/>
    </xf>
    <xf numFmtId="0" fontId="6" fillId="0" borderId="3" xfId="3" applyFont="1" applyFill="1" applyBorder="1" applyAlignment="1">
      <alignment vertical="center"/>
    </xf>
    <xf numFmtId="0" fontId="6" fillId="0" borderId="4" xfId="3" applyFont="1" applyFill="1" applyBorder="1" applyAlignment="1">
      <alignment vertical="center"/>
    </xf>
    <xf numFmtId="0" fontId="6" fillId="0" borderId="1" xfId="3" applyFont="1" applyFill="1" applyBorder="1" applyAlignment="1">
      <alignment vertical="center"/>
    </xf>
    <xf numFmtId="0" fontId="5" fillId="8" borderId="9" xfId="4" applyFont="1" applyFill="1" applyBorder="1" applyAlignment="1">
      <alignment horizontal="center" vertical="center"/>
    </xf>
    <xf numFmtId="0" fontId="5" fillId="0" borderId="10" xfId="5" applyFont="1" applyFill="1" applyBorder="1" applyAlignment="1">
      <alignment horizontal="justify" vertical="center"/>
    </xf>
    <xf numFmtId="0" fontId="5" fillId="5" borderId="9" xfId="4" applyFont="1" applyFill="1" applyBorder="1" applyAlignment="1">
      <alignment horizontal="center" vertical="center"/>
    </xf>
    <xf numFmtId="0" fontId="5" fillId="8" borderId="11" xfId="4" applyFont="1" applyFill="1" applyBorder="1" applyAlignment="1">
      <alignment horizontal="center" vertical="center"/>
    </xf>
    <xf numFmtId="0" fontId="5" fillId="0" borderId="12" xfId="5" applyFont="1" applyFill="1" applyBorder="1" applyAlignment="1">
      <alignment horizontal="justify" vertical="center"/>
    </xf>
    <xf numFmtId="0" fontId="5" fillId="8" borderId="13" xfId="4" applyFont="1" applyFill="1" applyBorder="1" applyAlignment="1">
      <alignment horizontal="center" vertical="center"/>
    </xf>
    <xf numFmtId="0" fontId="5" fillId="8" borderId="14" xfId="4" applyFont="1" applyFill="1" applyBorder="1" applyAlignment="1">
      <alignment horizontal="center" vertical="center"/>
    </xf>
    <xf numFmtId="0" fontId="14" fillId="0" borderId="10" xfId="4" applyFont="1" applyBorder="1" applyAlignment="1">
      <alignment horizontal="left" vertical="center"/>
    </xf>
    <xf numFmtId="0" fontId="14" fillId="0" borderId="10" xfId="5" applyFont="1" applyFill="1" applyBorder="1" applyAlignment="1">
      <alignment horizontal="justify" vertical="center"/>
    </xf>
    <xf numFmtId="0" fontId="14" fillId="0" borderId="10" xfId="4" applyFont="1" applyBorder="1" applyAlignment="1">
      <alignment vertical="center"/>
    </xf>
    <xf numFmtId="0" fontId="14" fillId="0" borderId="10" xfId="5" applyFont="1" applyFill="1" applyBorder="1" applyAlignment="1">
      <alignment horizontal="justify" vertical="center" wrapText="1"/>
    </xf>
    <xf numFmtId="0" fontId="12" fillId="0" borderId="1" xfId="4" applyFont="1" applyBorder="1"/>
    <xf numFmtId="0" fontId="6" fillId="0" borderId="1" xfId="1" applyFont="1" applyFill="1" applyBorder="1" applyAlignment="1">
      <alignment horizontal="center"/>
    </xf>
    <xf numFmtId="0" fontId="5" fillId="0" borderId="8" xfId="4" applyFont="1" applyBorder="1" applyAlignment="1">
      <alignment horizontal="center" vertical="center"/>
    </xf>
    <xf numFmtId="0" fontId="5" fillId="0" borderId="1" xfId="6" applyFont="1" applyFill="1" applyBorder="1" applyAlignment="1">
      <alignment horizontal="justify" vertical="center"/>
    </xf>
    <xf numFmtId="0" fontId="6" fillId="0" borderId="5" xfId="2" applyFont="1" applyFill="1" applyAlignment="1">
      <alignment horizontal="center"/>
    </xf>
    <xf numFmtId="0" fontId="6" fillId="0" borderId="5" xfId="2" applyFont="1" applyFill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vertical="center"/>
    </xf>
    <xf numFmtId="0" fontId="15" fillId="9" borderId="15" xfId="0" applyFont="1" applyFill="1" applyBorder="1" applyAlignment="1">
      <alignment horizontal="center" vertical="center" wrapText="1" readingOrder="1"/>
    </xf>
    <xf numFmtId="0" fontId="16" fillId="10" borderId="18" xfId="0" applyFont="1" applyFill="1" applyBorder="1" applyAlignment="1">
      <alignment horizontal="center" vertical="center" wrapText="1" readingOrder="1"/>
    </xf>
    <xf numFmtId="0" fontId="15" fillId="9" borderId="16" xfId="0" applyFont="1" applyFill="1" applyBorder="1" applyAlignment="1">
      <alignment horizontal="center" vertical="center" wrapText="1" readingOrder="1"/>
    </xf>
    <xf numFmtId="0" fontId="17" fillId="10" borderId="18" xfId="0" applyFont="1" applyFill="1" applyBorder="1" applyAlignment="1">
      <alignment horizontal="center" vertical="center" wrapText="1" readingOrder="1"/>
    </xf>
    <xf numFmtId="0" fontId="15" fillId="9" borderId="17" xfId="0" applyFont="1" applyFill="1" applyBorder="1" applyAlignment="1">
      <alignment horizontal="center" vertical="center" wrapText="1" readingOrder="1"/>
    </xf>
    <xf numFmtId="0" fontId="15" fillId="9" borderId="16" xfId="9" applyFont="1" applyFill="1" applyBorder="1" applyAlignment="1">
      <alignment horizontal="center" vertical="center" wrapText="1" readingOrder="1"/>
    </xf>
    <xf numFmtId="0" fontId="16" fillId="10" borderId="18" xfId="9" applyFont="1" applyFill="1" applyBorder="1" applyAlignment="1">
      <alignment horizontal="center" vertical="center" wrapText="1" readingOrder="1"/>
    </xf>
    <xf numFmtId="0" fontId="16" fillId="11" borderId="19" xfId="9" applyFont="1" applyFill="1" applyBorder="1" applyAlignment="1">
      <alignment horizontal="center" vertical="center" wrapText="1" readingOrder="1"/>
    </xf>
    <xf numFmtId="0" fontId="16" fillId="10" borderId="19" xfId="9" applyFont="1" applyFill="1" applyBorder="1" applyAlignment="1">
      <alignment horizontal="center" vertical="center" wrapText="1" readingOrder="1"/>
    </xf>
    <xf numFmtId="16" fontId="15" fillId="9" borderId="16" xfId="0" quotePrefix="1" applyNumberFormat="1" applyFont="1" applyFill="1" applyBorder="1" applyAlignment="1">
      <alignment horizontal="center" vertical="center" wrapText="1" readingOrder="1"/>
    </xf>
    <xf numFmtId="164" fontId="6" fillId="0" borderId="0" xfId="8" applyNumberFormat="1" applyFont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justify" vertical="center"/>
    </xf>
    <xf numFmtId="0" fontId="12" fillId="0" borderId="0" xfId="3" applyFont="1" applyFill="1" applyBorder="1" applyAlignment="1">
      <alignment horizontal="center"/>
    </xf>
    <xf numFmtId="0" fontId="12" fillId="0" borderId="0" xfId="3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justify" vertical="center"/>
    </xf>
    <xf numFmtId="0" fontId="6" fillId="0" borderId="1" xfId="3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 vertical="center" wrapText="1"/>
    </xf>
    <xf numFmtId="0" fontId="10" fillId="0" borderId="1" xfId="3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</cellXfs>
  <cellStyles count="12">
    <cellStyle name="60% - Accent1" xfId="3" builtinId="32"/>
    <cellStyle name="60% - Accent1 2" xfId="6" xr:uid="{695F021E-DD65-4477-852A-A705027DA3C2}"/>
    <cellStyle name="60% - Accent1 2 2" xfId="10" xr:uid="{712BFBCF-1EA2-40FE-A78A-838F8D025FDE}"/>
    <cellStyle name="60% - Accent1 3" xfId="11" xr:uid="{CC038098-F7CF-4416-A1B7-87B8AD05AAF2}"/>
    <cellStyle name="Good" xfId="1" builtinId="26"/>
    <cellStyle name="Good 2" xfId="5" xr:uid="{6AA8E339-0959-437A-A852-7A89EAB915EC}"/>
    <cellStyle name="Input" xfId="2" builtinId="20"/>
    <cellStyle name="Input 2" xfId="7" xr:uid="{96A8638B-4A9D-4C70-96BE-7C2C24DC24CD}"/>
    <cellStyle name="Normal" xfId="0" builtinId="0"/>
    <cellStyle name="Normal 2" xfId="4" xr:uid="{BA673C33-26DA-4FD4-9461-EC52DE3F2AE6}"/>
    <cellStyle name="Normal 3" xfId="9" xr:uid="{855BACA1-15C1-4FDA-8396-0B1B3EFDF9AC}"/>
    <cellStyle name="Percent" xfId="8" builtinId="5"/>
  </cellStyles>
  <dxfs count="0"/>
  <tableStyles count="0" defaultTableStyle="TableStyleMedium2" defaultPivotStyle="PivotStyleLight16"/>
  <colors>
    <mruColors>
      <color rgb="FFE2EFDA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FF"/>
  </sheetPr>
  <dimension ref="A1:N155"/>
  <sheetViews>
    <sheetView tabSelected="1" topLeftCell="A32" zoomScaleNormal="100" workbookViewId="0">
      <selection activeCell="C45" sqref="C45"/>
    </sheetView>
  </sheetViews>
  <sheetFormatPr defaultColWidth="8.59765625" defaultRowHeight="15.6" x14ac:dyDescent="0.3"/>
  <cols>
    <col min="1" max="1" width="3.09765625" style="1" bestFit="1" customWidth="1"/>
    <col min="2" max="2" width="26.19921875" style="1" customWidth="1"/>
    <col min="3" max="3" width="10.3984375" style="1" bestFit="1" customWidth="1"/>
    <col min="4" max="4" width="6.59765625" style="1" customWidth="1"/>
    <col min="5" max="5" width="10.3984375" style="1" bestFit="1" customWidth="1"/>
    <col min="6" max="6" width="14.5" style="1" customWidth="1"/>
    <col min="7" max="7" width="12.3984375" style="1" customWidth="1"/>
    <col min="8" max="8" width="17.59765625" style="7" customWidth="1"/>
    <col min="9" max="9" width="7.09765625" style="1" customWidth="1"/>
    <col min="10" max="10" width="8.59765625" style="1"/>
    <col min="11" max="11" width="4.09765625" style="1" bestFit="1" customWidth="1"/>
    <col min="12" max="12" width="25.8984375" style="1" bestFit="1" customWidth="1"/>
    <col min="13" max="13" width="29.19921875" style="1" bestFit="1" customWidth="1"/>
    <col min="14" max="14" width="0" style="1" hidden="1" customWidth="1"/>
    <col min="15" max="16384" width="8.59765625" style="1"/>
  </cols>
  <sheetData>
    <row r="1" spans="1:14" ht="20.85" customHeight="1" thickBot="1" x14ac:dyDescent="0.35">
      <c r="A1" s="61"/>
      <c r="B1" s="61"/>
      <c r="C1" s="61"/>
      <c r="D1" s="61"/>
      <c r="E1" s="61"/>
      <c r="F1" s="61"/>
      <c r="G1" s="61"/>
    </row>
    <row r="2" spans="1:14" ht="20.85" customHeight="1" thickBot="1" x14ac:dyDescent="0.35">
      <c r="A2" s="2"/>
      <c r="B2" s="3" t="s">
        <v>72</v>
      </c>
      <c r="C2" s="2" t="s">
        <v>0</v>
      </c>
      <c r="D2" s="2" t="s">
        <v>1</v>
      </c>
      <c r="E2" s="2" t="s">
        <v>12</v>
      </c>
      <c r="F2" s="2" t="s">
        <v>8</v>
      </c>
      <c r="G2" s="4" t="s">
        <v>6</v>
      </c>
      <c r="H2" s="7" t="s">
        <v>92</v>
      </c>
      <c r="K2" s="40" t="s">
        <v>68</v>
      </c>
      <c r="L2" s="42" t="s">
        <v>69</v>
      </c>
      <c r="M2" s="42" t="s">
        <v>73</v>
      </c>
      <c r="N2" s="45"/>
    </row>
    <row r="3" spans="1:14" ht="20.85" customHeight="1" thickTop="1" thickBot="1" x14ac:dyDescent="0.35">
      <c r="A3" s="21">
        <v>1</v>
      </c>
      <c r="B3" s="22" t="s">
        <v>17</v>
      </c>
      <c r="C3" s="9" t="s">
        <v>3</v>
      </c>
      <c r="D3" s="9" t="s">
        <v>5</v>
      </c>
      <c r="E3" s="9">
        <v>801</v>
      </c>
      <c r="F3" s="10">
        <v>1.6</v>
      </c>
      <c r="G3" s="11"/>
      <c r="H3" s="50">
        <f>F3/$M$7</f>
        <v>2.4933769674302636E-2</v>
      </c>
      <c r="K3" s="44">
        <v>1</v>
      </c>
      <c r="L3" s="41" t="s">
        <v>74</v>
      </c>
      <c r="M3" s="41" t="s">
        <v>91</v>
      </c>
      <c r="N3" s="46"/>
    </row>
    <row r="4" spans="1:14" ht="20.85" customHeight="1" thickBot="1" x14ac:dyDescent="0.35">
      <c r="A4" s="21">
        <v>2</v>
      </c>
      <c r="B4" s="22" t="s">
        <v>42</v>
      </c>
      <c r="C4" s="9" t="s">
        <v>3</v>
      </c>
      <c r="D4" s="9" t="s">
        <v>5</v>
      </c>
      <c r="E4" s="9">
        <v>802</v>
      </c>
      <c r="F4" s="10">
        <v>1.1000000000000001</v>
      </c>
      <c r="G4" s="11"/>
      <c r="H4" s="50">
        <f>F4/$M$7</f>
        <v>1.7141966651083061E-2</v>
      </c>
      <c r="K4" s="40">
        <v>2</v>
      </c>
      <c r="L4" s="42" t="s">
        <v>75</v>
      </c>
      <c r="M4" s="42" t="s">
        <v>76</v>
      </c>
      <c r="N4" s="47"/>
    </row>
    <row r="5" spans="1:14" ht="20.85" customHeight="1" thickTop="1" thickBot="1" x14ac:dyDescent="0.35">
      <c r="A5" s="21">
        <v>3</v>
      </c>
      <c r="B5" s="22" t="s">
        <v>7</v>
      </c>
      <c r="C5" s="9" t="s">
        <v>3</v>
      </c>
      <c r="D5" s="9" t="s">
        <v>5</v>
      </c>
      <c r="E5" s="9">
        <v>803</v>
      </c>
      <c r="F5" s="10">
        <v>1.3</v>
      </c>
      <c r="G5" s="11"/>
      <c r="H5" s="50">
        <f t="shared" ref="H5:H66" si="0">F5/$M$7</f>
        <v>2.025868786037089E-2</v>
      </c>
      <c r="K5" s="44">
        <v>3</v>
      </c>
      <c r="L5" s="41" t="s">
        <v>77</v>
      </c>
      <c r="M5" s="41">
        <v>10968</v>
      </c>
      <c r="N5" s="48"/>
    </row>
    <row r="6" spans="1:14" ht="20.85" customHeight="1" thickBot="1" x14ac:dyDescent="0.35">
      <c r="A6" s="21">
        <v>4</v>
      </c>
      <c r="B6" s="22" t="s">
        <v>41</v>
      </c>
      <c r="C6" s="9" t="s">
        <v>2</v>
      </c>
      <c r="D6" s="9" t="s">
        <v>5</v>
      </c>
      <c r="E6" s="9">
        <v>804</v>
      </c>
      <c r="F6" s="10">
        <v>0.65</v>
      </c>
      <c r="G6" s="11"/>
      <c r="H6" s="50">
        <f t="shared" si="0"/>
        <v>1.0129343930185445E-2</v>
      </c>
      <c r="K6" s="40">
        <v>4</v>
      </c>
      <c r="L6" s="42" t="s">
        <v>78</v>
      </c>
      <c r="M6" s="42">
        <v>36</v>
      </c>
      <c r="N6" s="47"/>
    </row>
    <row r="7" spans="1:14" ht="20.85" customHeight="1" thickTop="1" thickBot="1" x14ac:dyDescent="0.35">
      <c r="A7" s="21">
        <v>5</v>
      </c>
      <c r="B7" s="22" t="s">
        <v>62</v>
      </c>
      <c r="C7" s="9" t="s">
        <v>3</v>
      </c>
      <c r="D7" s="9" t="s">
        <v>5</v>
      </c>
      <c r="E7" s="9">
        <v>805</v>
      </c>
      <c r="F7" s="10">
        <v>2.1</v>
      </c>
      <c r="G7" s="11"/>
      <c r="H7" s="50">
        <f t="shared" si="0"/>
        <v>3.2725572697522208E-2</v>
      </c>
      <c r="K7" s="44">
        <v>5</v>
      </c>
      <c r="L7" s="41" t="s">
        <v>79</v>
      </c>
      <c r="M7" s="43">
        <v>64.17</v>
      </c>
      <c r="N7" s="48"/>
    </row>
    <row r="8" spans="1:14" ht="20.85" customHeight="1" thickBot="1" x14ac:dyDescent="0.35">
      <c r="A8" s="21">
        <v>6</v>
      </c>
      <c r="B8" s="22" t="s">
        <v>63</v>
      </c>
      <c r="C8" s="9" t="s">
        <v>3</v>
      </c>
      <c r="D8" s="9" t="s">
        <v>5</v>
      </c>
      <c r="E8" s="9">
        <v>806</v>
      </c>
      <c r="F8" s="10">
        <v>2.1</v>
      </c>
      <c r="G8" s="11"/>
      <c r="H8" s="50">
        <f t="shared" si="0"/>
        <v>3.2725572697522208E-2</v>
      </c>
      <c r="K8" s="40">
        <v>6</v>
      </c>
      <c r="L8" s="42" t="s">
        <v>80</v>
      </c>
      <c r="M8" s="42" t="s">
        <v>81</v>
      </c>
      <c r="N8" s="47"/>
    </row>
    <row r="9" spans="1:14" ht="20.85" customHeight="1" thickTop="1" thickBot="1" x14ac:dyDescent="0.35">
      <c r="A9" s="21">
        <v>7</v>
      </c>
      <c r="B9" s="22" t="s">
        <v>20</v>
      </c>
      <c r="C9" s="9" t="s">
        <v>3</v>
      </c>
      <c r="D9" s="9" t="s">
        <v>5</v>
      </c>
      <c r="E9" s="9">
        <v>807</v>
      </c>
      <c r="F9" s="10">
        <v>1.1000000000000001</v>
      </c>
      <c r="G9" s="11"/>
      <c r="H9" s="50">
        <f t="shared" si="0"/>
        <v>1.7141966651083061E-2</v>
      </c>
      <c r="K9" s="44">
        <v>7</v>
      </c>
      <c r="L9" s="41" t="s">
        <v>82</v>
      </c>
      <c r="M9" s="41">
        <v>28800</v>
      </c>
      <c r="N9" s="48"/>
    </row>
    <row r="10" spans="1:14" ht="20.85" customHeight="1" thickBot="1" x14ac:dyDescent="0.35">
      <c r="A10" s="21">
        <v>8</v>
      </c>
      <c r="B10" s="22" t="s">
        <v>21</v>
      </c>
      <c r="C10" s="9" t="s">
        <v>3</v>
      </c>
      <c r="D10" s="9" t="s">
        <v>5</v>
      </c>
      <c r="E10" s="9">
        <v>808</v>
      </c>
      <c r="F10" s="10">
        <v>1.1000000000000001</v>
      </c>
      <c r="G10" s="11"/>
      <c r="H10" s="50">
        <f t="shared" si="0"/>
        <v>1.7141966651083061E-2</v>
      </c>
      <c r="K10" s="40">
        <v>8</v>
      </c>
      <c r="L10" s="42" t="s">
        <v>83</v>
      </c>
      <c r="M10" s="42" t="s">
        <v>38</v>
      </c>
      <c r="N10" s="47"/>
    </row>
    <row r="11" spans="1:14" ht="20.85" customHeight="1" thickTop="1" thickBot="1" x14ac:dyDescent="0.35">
      <c r="A11" s="23">
        <v>9</v>
      </c>
      <c r="B11" s="28" t="s">
        <v>47</v>
      </c>
      <c r="C11" s="9" t="s">
        <v>3</v>
      </c>
      <c r="D11" s="9" t="s">
        <v>1</v>
      </c>
      <c r="E11" s="9">
        <v>809</v>
      </c>
      <c r="F11" s="10">
        <v>1.3</v>
      </c>
      <c r="G11" s="11"/>
      <c r="H11" s="50">
        <f t="shared" si="0"/>
        <v>2.025868786037089E-2</v>
      </c>
      <c r="K11" s="44">
        <v>9</v>
      </c>
      <c r="L11" s="41" t="s">
        <v>84</v>
      </c>
      <c r="M11" s="41" t="s">
        <v>39</v>
      </c>
      <c r="N11" s="48"/>
    </row>
    <row r="12" spans="1:14" ht="20.85" customHeight="1" thickBot="1" x14ac:dyDescent="0.35">
      <c r="A12" s="23">
        <v>10</v>
      </c>
      <c r="B12" s="29" t="s">
        <v>11</v>
      </c>
      <c r="C12" s="9" t="s">
        <v>3</v>
      </c>
      <c r="D12" s="9" t="s">
        <v>1</v>
      </c>
      <c r="E12" s="9">
        <v>810</v>
      </c>
      <c r="F12" s="10">
        <v>1.3</v>
      </c>
      <c r="G12" s="11"/>
      <c r="H12" s="50">
        <f t="shared" si="0"/>
        <v>2.025868786037089E-2</v>
      </c>
      <c r="K12" s="40">
        <v>10</v>
      </c>
      <c r="L12" s="42" t="s">
        <v>85</v>
      </c>
      <c r="M12" s="49" t="s">
        <v>40</v>
      </c>
      <c r="N12" s="48"/>
    </row>
    <row r="13" spans="1:14" ht="20.85" customHeight="1" thickTop="1" thickBot="1" x14ac:dyDescent="0.35">
      <c r="A13" s="23">
        <v>11</v>
      </c>
      <c r="B13" s="29" t="s">
        <v>43</v>
      </c>
      <c r="C13" s="9" t="s">
        <v>3</v>
      </c>
      <c r="D13" s="9" t="s">
        <v>1</v>
      </c>
      <c r="E13" s="9">
        <v>811</v>
      </c>
      <c r="F13" s="10">
        <v>3.1</v>
      </c>
      <c r="G13" s="11"/>
      <c r="H13" s="50">
        <f t="shared" si="0"/>
        <v>4.8309178743961352E-2</v>
      </c>
      <c r="N13" s="48"/>
    </row>
    <row r="14" spans="1:14" ht="20.85" customHeight="1" x14ac:dyDescent="0.3">
      <c r="A14" s="23">
        <v>12</v>
      </c>
      <c r="B14" s="29" t="s">
        <v>9</v>
      </c>
      <c r="C14" s="9" t="s">
        <v>3</v>
      </c>
      <c r="D14" s="9" t="s">
        <v>1</v>
      </c>
      <c r="E14" s="9">
        <v>812</v>
      </c>
      <c r="F14" s="10">
        <v>1.1000000000000001</v>
      </c>
      <c r="G14" s="11"/>
      <c r="H14" s="50">
        <f t="shared" si="0"/>
        <v>1.7141966651083061E-2</v>
      </c>
    </row>
    <row r="15" spans="1:14" ht="20.85" customHeight="1" x14ac:dyDescent="0.3">
      <c r="A15" s="23">
        <v>13</v>
      </c>
      <c r="B15" s="29" t="s">
        <v>4</v>
      </c>
      <c r="C15" s="9" t="s">
        <v>3</v>
      </c>
      <c r="D15" s="9" t="s">
        <v>1</v>
      </c>
      <c r="E15" s="9">
        <v>813</v>
      </c>
      <c r="F15" s="10">
        <v>1.2</v>
      </c>
      <c r="G15" s="11"/>
      <c r="H15" s="50">
        <f t="shared" si="0"/>
        <v>1.8700327255726974E-2</v>
      </c>
    </row>
    <row r="16" spans="1:14" ht="20.85" customHeight="1" x14ac:dyDescent="0.3">
      <c r="A16" s="23">
        <v>14</v>
      </c>
      <c r="B16" s="29" t="s">
        <v>48</v>
      </c>
      <c r="C16" s="9" t="s">
        <v>3</v>
      </c>
      <c r="D16" s="12" t="s">
        <v>1</v>
      </c>
      <c r="E16" s="9">
        <v>814</v>
      </c>
      <c r="F16" s="10">
        <v>0.8</v>
      </c>
      <c r="G16" s="11"/>
      <c r="H16" s="50">
        <f t="shared" si="0"/>
        <v>1.2466884837151318E-2</v>
      </c>
    </row>
    <row r="17" spans="1:8" ht="20.85" customHeight="1" x14ac:dyDescent="0.3">
      <c r="A17" s="23">
        <v>15</v>
      </c>
      <c r="B17" s="22" t="s">
        <v>16</v>
      </c>
      <c r="C17" s="9" t="s">
        <v>3</v>
      </c>
      <c r="D17" s="9" t="s">
        <v>1</v>
      </c>
      <c r="E17" s="9">
        <v>815</v>
      </c>
      <c r="F17" s="10">
        <v>1.2</v>
      </c>
      <c r="G17" s="11"/>
      <c r="H17" s="50">
        <f t="shared" si="0"/>
        <v>1.8700327255726974E-2</v>
      </c>
    </row>
    <row r="18" spans="1:8" ht="20.85" customHeight="1" x14ac:dyDescent="0.3">
      <c r="A18" s="23">
        <v>16</v>
      </c>
      <c r="B18" s="31" t="s">
        <v>13</v>
      </c>
      <c r="C18" s="9" t="s">
        <v>3</v>
      </c>
      <c r="D18" s="12" t="s">
        <v>1</v>
      </c>
      <c r="E18" s="9">
        <v>816</v>
      </c>
      <c r="F18" s="10">
        <v>1.8</v>
      </c>
      <c r="G18" s="11"/>
      <c r="H18" s="50">
        <f t="shared" si="0"/>
        <v>2.8050490883590462E-2</v>
      </c>
    </row>
    <row r="19" spans="1:8" ht="20.85" customHeight="1" x14ac:dyDescent="0.3">
      <c r="A19" s="23">
        <v>17</v>
      </c>
      <c r="B19" s="31" t="s">
        <v>37</v>
      </c>
      <c r="C19" s="9" t="s">
        <v>3</v>
      </c>
      <c r="D19" s="12" t="s">
        <v>1</v>
      </c>
      <c r="E19" s="9">
        <v>817</v>
      </c>
      <c r="F19" s="10">
        <v>1.5</v>
      </c>
      <c r="G19" s="11"/>
      <c r="H19" s="50">
        <f t="shared" si="0"/>
        <v>2.337540906965872E-2</v>
      </c>
    </row>
    <row r="20" spans="1:8" ht="20.85" customHeight="1" x14ac:dyDescent="0.3">
      <c r="A20" s="23">
        <v>18</v>
      </c>
      <c r="B20" s="30" t="s">
        <v>10</v>
      </c>
      <c r="C20" s="9" t="s">
        <v>3</v>
      </c>
      <c r="D20" s="12" t="s">
        <v>1</v>
      </c>
      <c r="E20" s="9">
        <v>818</v>
      </c>
      <c r="F20" s="10">
        <v>1</v>
      </c>
      <c r="G20" s="11"/>
      <c r="H20" s="50">
        <f t="shared" si="0"/>
        <v>1.5583606046439146E-2</v>
      </c>
    </row>
    <row r="21" spans="1:8" ht="20.85" customHeight="1" x14ac:dyDescent="0.3">
      <c r="A21" s="23">
        <v>19</v>
      </c>
      <c r="B21" s="29" t="s">
        <v>49</v>
      </c>
      <c r="C21" s="9" t="s">
        <v>3</v>
      </c>
      <c r="D21" s="9" t="s">
        <v>1</v>
      </c>
      <c r="E21" s="9">
        <v>819</v>
      </c>
      <c r="F21" s="10">
        <v>1.3</v>
      </c>
      <c r="G21" s="11"/>
      <c r="H21" s="50">
        <f t="shared" si="0"/>
        <v>2.025868786037089E-2</v>
      </c>
    </row>
    <row r="22" spans="1:8" ht="20.85" customHeight="1" x14ac:dyDescent="0.3">
      <c r="A22" s="21">
        <v>20</v>
      </c>
      <c r="B22" s="22" t="s">
        <v>14</v>
      </c>
      <c r="C22" s="9" t="s">
        <v>3</v>
      </c>
      <c r="D22" s="9" t="s">
        <v>5</v>
      </c>
      <c r="E22" s="9">
        <v>820</v>
      </c>
      <c r="F22" s="10">
        <v>1.4</v>
      </c>
      <c r="G22" s="11"/>
      <c r="H22" s="50">
        <f t="shared" si="0"/>
        <v>2.1817048465014803E-2</v>
      </c>
    </row>
    <row r="23" spans="1:8" ht="20.85" customHeight="1" x14ac:dyDescent="0.3">
      <c r="A23" s="21">
        <v>21</v>
      </c>
      <c r="B23" s="22" t="s">
        <v>15</v>
      </c>
      <c r="C23" s="9" t="s">
        <v>3</v>
      </c>
      <c r="D23" s="9" t="s">
        <v>5</v>
      </c>
      <c r="E23" s="9">
        <v>821</v>
      </c>
      <c r="F23" s="10">
        <v>1.6</v>
      </c>
      <c r="G23" s="11"/>
      <c r="H23" s="50">
        <f t="shared" si="0"/>
        <v>2.4933769674302636E-2</v>
      </c>
    </row>
    <row r="24" spans="1:8" ht="20.85" customHeight="1" thickBot="1" x14ac:dyDescent="0.35">
      <c r="A24" s="24">
        <v>22</v>
      </c>
      <c r="B24" s="25" t="s">
        <v>64</v>
      </c>
      <c r="C24" s="9" t="s">
        <v>3</v>
      </c>
      <c r="D24" s="9" t="s">
        <v>5</v>
      </c>
      <c r="E24" s="9">
        <v>822</v>
      </c>
      <c r="F24" s="10">
        <v>1.6</v>
      </c>
      <c r="G24" s="11"/>
      <c r="H24" s="50">
        <f t="shared" si="0"/>
        <v>2.4933769674302636E-2</v>
      </c>
    </row>
    <row r="25" spans="1:8" ht="20.85" customHeight="1" x14ac:dyDescent="0.3">
      <c r="A25" s="26">
        <v>23</v>
      </c>
      <c r="B25" s="25" t="s">
        <v>65</v>
      </c>
      <c r="C25" s="9" t="s">
        <v>3</v>
      </c>
      <c r="D25" s="9" t="s">
        <v>5</v>
      </c>
      <c r="E25" s="9">
        <v>823</v>
      </c>
      <c r="F25" s="10">
        <v>1.3</v>
      </c>
      <c r="G25" s="11"/>
      <c r="H25" s="50">
        <f t="shared" si="0"/>
        <v>2.025868786037089E-2</v>
      </c>
    </row>
    <row r="26" spans="1:8" s="8" customFormat="1" ht="20.85" customHeight="1" x14ac:dyDescent="0.3">
      <c r="A26" s="21">
        <v>24</v>
      </c>
      <c r="B26" s="25" t="s">
        <v>19</v>
      </c>
      <c r="C26" s="9" t="s">
        <v>2</v>
      </c>
      <c r="D26" s="9" t="s">
        <v>5</v>
      </c>
      <c r="E26" s="9">
        <v>824</v>
      </c>
      <c r="F26" s="10">
        <v>0.63</v>
      </c>
      <c r="G26" s="11"/>
      <c r="H26" s="50">
        <f t="shared" si="0"/>
        <v>9.8176718092566617E-3</v>
      </c>
    </row>
    <row r="27" spans="1:8" ht="20.85" customHeight="1" x14ac:dyDescent="0.3">
      <c r="A27" s="21">
        <v>25</v>
      </c>
      <c r="B27" s="25" t="s">
        <v>22</v>
      </c>
      <c r="C27" s="9" t="s">
        <v>3</v>
      </c>
      <c r="D27" s="9" t="s">
        <v>5</v>
      </c>
      <c r="E27" s="9">
        <v>825</v>
      </c>
      <c r="F27" s="10">
        <v>1.3</v>
      </c>
      <c r="G27" s="11"/>
      <c r="H27" s="50">
        <f t="shared" si="0"/>
        <v>2.025868786037089E-2</v>
      </c>
    </row>
    <row r="28" spans="1:8" ht="20.85" customHeight="1" x14ac:dyDescent="0.3">
      <c r="A28" s="21">
        <v>26</v>
      </c>
      <c r="B28" s="25" t="s">
        <v>51</v>
      </c>
      <c r="C28" s="9" t="s">
        <v>3</v>
      </c>
      <c r="D28" s="9" t="s">
        <v>5</v>
      </c>
      <c r="E28" s="9">
        <v>826</v>
      </c>
      <c r="F28" s="10">
        <v>1.1000000000000001</v>
      </c>
      <c r="G28" s="11"/>
      <c r="H28" s="50">
        <f t="shared" si="0"/>
        <v>1.7141966651083061E-2</v>
      </c>
    </row>
    <row r="29" spans="1:8" ht="20.85" customHeight="1" x14ac:dyDescent="0.3">
      <c r="A29" s="21">
        <v>27</v>
      </c>
      <c r="B29" s="25" t="s">
        <v>52</v>
      </c>
      <c r="C29" s="9" t="s">
        <v>3</v>
      </c>
      <c r="D29" s="9" t="s">
        <v>5</v>
      </c>
      <c r="E29" s="14">
        <v>827</v>
      </c>
      <c r="F29" s="10">
        <v>1.3</v>
      </c>
      <c r="G29" s="11"/>
      <c r="H29" s="50">
        <f t="shared" si="0"/>
        <v>2.025868786037089E-2</v>
      </c>
    </row>
    <row r="30" spans="1:8" s="8" customFormat="1" ht="20.85" customHeight="1" x14ac:dyDescent="0.3">
      <c r="A30" s="21">
        <v>28</v>
      </c>
      <c r="B30" s="25" t="s">
        <v>18</v>
      </c>
      <c r="C30" s="9" t="s">
        <v>3</v>
      </c>
      <c r="D30" s="9" t="s">
        <v>5</v>
      </c>
      <c r="E30" s="14">
        <v>828</v>
      </c>
      <c r="F30" s="10">
        <v>1.1000000000000001</v>
      </c>
      <c r="G30" s="11"/>
      <c r="H30" s="50">
        <f t="shared" si="0"/>
        <v>1.7141966651083061E-2</v>
      </c>
    </row>
    <row r="31" spans="1:8" s="8" customFormat="1" ht="20.85" customHeight="1" x14ac:dyDescent="0.3">
      <c r="A31" s="21">
        <v>29</v>
      </c>
      <c r="B31" s="25" t="s">
        <v>53</v>
      </c>
      <c r="C31" s="9" t="s">
        <v>3</v>
      </c>
      <c r="D31" s="9" t="s">
        <v>5</v>
      </c>
      <c r="E31" s="14">
        <v>829</v>
      </c>
      <c r="F31" s="10">
        <v>1.1000000000000001</v>
      </c>
      <c r="G31" s="11"/>
      <c r="H31" s="50">
        <f t="shared" si="0"/>
        <v>1.7141966651083061E-2</v>
      </c>
    </row>
    <row r="32" spans="1:8" ht="20.85" customHeight="1" x14ac:dyDescent="0.3">
      <c r="A32" s="21">
        <v>30</v>
      </c>
      <c r="B32" s="25" t="s">
        <v>54</v>
      </c>
      <c r="C32" s="13" t="s">
        <v>3</v>
      </c>
      <c r="D32" s="9" t="s">
        <v>5</v>
      </c>
      <c r="E32" s="14">
        <v>830</v>
      </c>
      <c r="F32" s="10">
        <v>1.3</v>
      </c>
      <c r="G32" s="11"/>
      <c r="H32" s="50">
        <f t="shared" si="0"/>
        <v>2.025868786037089E-2</v>
      </c>
    </row>
    <row r="33" spans="1:8" ht="20.85" customHeight="1" x14ac:dyDescent="0.3">
      <c r="A33" s="21">
        <v>31</v>
      </c>
      <c r="B33" s="25" t="s">
        <v>55</v>
      </c>
      <c r="C33" s="9" t="s">
        <v>3</v>
      </c>
      <c r="D33" s="9" t="s">
        <v>5</v>
      </c>
      <c r="E33" s="14">
        <v>831</v>
      </c>
      <c r="F33" s="10">
        <v>1.2</v>
      </c>
      <c r="G33" s="11"/>
      <c r="H33" s="50">
        <f t="shared" si="0"/>
        <v>1.8700327255726974E-2</v>
      </c>
    </row>
    <row r="34" spans="1:8" s="8" customFormat="1" ht="20.85" customHeight="1" x14ac:dyDescent="0.3">
      <c r="A34" s="21">
        <v>32</v>
      </c>
      <c r="B34" s="25" t="s">
        <v>56</v>
      </c>
      <c r="C34" s="9" t="s">
        <v>3</v>
      </c>
      <c r="D34" s="9" t="s">
        <v>5</v>
      </c>
      <c r="E34" s="14">
        <v>832</v>
      </c>
      <c r="F34" s="10">
        <v>1.3</v>
      </c>
      <c r="G34" s="11"/>
      <c r="H34" s="50">
        <f t="shared" si="0"/>
        <v>2.025868786037089E-2</v>
      </c>
    </row>
    <row r="35" spans="1:8" ht="20.85" customHeight="1" thickBot="1" x14ac:dyDescent="0.35">
      <c r="A35" s="27">
        <v>33</v>
      </c>
      <c r="B35" s="25" t="s">
        <v>57</v>
      </c>
      <c r="C35" s="13" t="s">
        <v>3</v>
      </c>
      <c r="D35" s="9" t="s">
        <v>5</v>
      </c>
      <c r="E35" s="14">
        <v>833</v>
      </c>
      <c r="F35" s="10">
        <v>1.9</v>
      </c>
      <c r="G35" s="11"/>
      <c r="H35" s="50">
        <f t="shared" si="0"/>
        <v>2.9608851488234375E-2</v>
      </c>
    </row>
    <row r="36" spans="1:8" ht="20.85" customHeight="1" thickBot="1" x14ac:dyDescent="0.35">
      <c r="A36" s="27">
        <v>34</v>
      </c>
      <c r="B36" s="25" t="s">
        <v>95</v>
      </c>
      <c r="C36" s="13" t="s">
        <v>3</v>
      </c>
      <c r="D36" s="9" t="s">
        <v>5</v>
      </c>
      <c r="E36" s="14">
        <v>834</v>
      </c>
      <c r="F36" s="10">
        <v>1.1000000000000001</v>
      </c>
      <c r="G36" s="11"/>
      <c r="H36" s="50">
        <f t="shared" si="0"/>
        <v>1.7141966651083061E-2</v>
      </c>
    </row>
    <row r="37" spans="1:8" ht="20.85" customHeight="1" thickBot="1" x14ac:dyDescent="0.35">
      <c r="A37" s="27">
        <v>35</v>
      </c>
      <c r="B37" s="25" t="s">
        <v>61</v>
      </c>
      <c r="C37" s="13" t="s">
        <v>3</v>
      </c>
      <c r="D37" s="9" t="s">
        <v>5</v>
      </c>
      <c r="E37" s="14">
        <v>835</v>
      </c>
      <c r="F37" s="10">
        <v>1.5</v>
      </c>
      <c r="G37" s="11"/>
      <c r="H37" s="50">
        <f t="shared" si="0"/>
        <v>2.337540906965872E-2</v>
      </c>
    </row>
    <row r="38" spans="1:8" ht="20.85" customHeight="1" thickBot="1" x14ac:dyDescent="0.35">
      <c r="A38" s="27">
        <v>36</v>
      </c>
      <c r="B38" s="25" t="s">
        <v>50</v>
      </c>
      <c r="C38" s="13" t="s">
        <v>3</v>
      </c>
      <c r="D38" s="9" t="s">
        <v>5</v>
      </c>
      <c r="E38" s="14">
        <v>836</v>
      </c>
      <c r="F38" s="10">
        <v>1.8</v>
      </c>
      <c r="G38" s="11"/>
      <c r="H38" s="50">
        <f t="shared" si="0"/>
        <v>2.8050490883590462E-2</v>
      </c>
    </row>
    <row r="39" spans="1:8" ht="20.85" customHeight="1" thickBot="1" x14ac:dyDescent="0.35">
      <c r="A39" s="27">
        <v>37</v>
      </c>
      <c r="B39" s="25" t="s">
        <v>59</v>
      </c>
      <c r="C39" s="13" t="s">
        <v>3</v>
      </c>
      <c r="D39" s="9" t="s">
        <v>5</v>
      </c>
      <c r="E39" s="14">
        <v>837</v>
      </c>
      <c r="F39" s="10">
        <v>1.1000000000000001</v>
      </c>
      <c r="G39" s="11"/>
      <c r="H39" s="50">
        <f t="shared" si="0"/>
        <v>1.7141966651083061E-2</v>
      </c>
    </row>
    <row r="40" spans="1:8" ht="20.85" customHeight="1" thickBot="1" x14ac:dyDescent="0.35">
      <c r="A40" s="27">
        <v>38</v>
      </c>
      <c r="B40" s="25" t="s">
        <v>60</v>
      </c>
      <c r="C40" s="13" t="s">
        <v>3</v>
      </c>
      <c r="D40" s="9" t="s">
        <v>5</v>
      </c>
      <c r="E40" s="14">
        <v>838</v>
      </c>
      <c r="F40" s="10">
        <v>1.1000000000000001</v>
      </c>
      <c r="G40" s="11"/>
      <c r="H40" s="50">
        <f t="shared" si="0"/>
        <v>1.7141966651083061E-2</v>
      </c>
    </row>
    <row r="41" spans="1:8" ht="20.85" customHeight="1" thickBot="1" x14ac:dyDescent="0.35">
      <c r="A41" s="27">
        <v>39</v>
      </c>
      <c r="B41" s="25" t="s">
        <v>58</v>
      </c>
      <c r="C41" s="13" t="s">
        <v>3</v>
      </c>
      <c r="D41" s="9" t="s">
        <v>5</v>
      </c>
      <c r="E41" s="14">
        <v>839</v>
      </c>
      <c r="F41" s="10">
        <v>1.1000000000000001</v>
      </c>
      <c r="G41" s="11"/>
      <c r="H41" s="50">
        <f t="shared" si="0"/>
        <v>1.7141966651083061E-2</v>
      </c>
    </row>
    <row r="42" spans="1:8" ht="20.85" customHeight="1" thickBot="1" x14ac:dyDescent="0.35">
      <c r="A42" s="27">
        <v>40</v>
      </c>
      <c r="B42" s="25" t="s">
        <v>66</v>
      </c>
      <c r="C42" s="13" t="s">
        <v>2</v>
      </c>
      <c r="D42" s="9" t="s">
        <v>5</v>
      </c>
      <c r="E42" s="14">
        <v>840</v>
      </c>
      <c r="F42" s="10">
        <v>0.64</v>
      </c>
      <c r="G42" s="11"/>
      <c r="H42" s="50">
        <f t="shared" si="0"/>
        <v>9.9735078697210534E-3</v>
      </c>
    </row>
    <row r="43" spans="1:8" ht="20.85" customHeight="1" x14ac:dyDescent="0.3">
      <c r="A43" s="21">
        <v>41</v>
      </c>
      <c r="B43" s="25" t="s">
        <v>67</v>
      </c>
      <c r="C43" s="13" t="s">
        <v>2</v>
      </c>
      <c r="D43" s="9" t="s">
        <v>5</v>
      </c>
      <c r="E43" s="14">
        <v>841</v>
      </c>
      <c r="F43" s="10">
        <v>0.64</v>
      </c>
      <c r="G43" s="11"/>
      <c r="H43" s="50">
        <f t="shared" si="0"/>
        <v>9.9735078697210534E-3</v>
      </c>
    </row>
    <row r="44" spans="1:8" ht="20.85" customHeight="1" x14ac:dyDescent="0.3">
      <c r="A44" s="23">
        <v>42</v>
      </c>
      <c r="B44" s="25" t="s">
        <v>93</v>
      </c>
      <c r="C44" s="13" t="s">
        <v>3</v>
      </c>
      <c r="D44" s="9" t="s">
        <v>1</v>
      </c>
      <c r="E44" s="14">
        <v>842</v>
      </c>
      <c r="F44" s="10">
        <v>1.8</v>
      </c>
      <c r="G44" s="11"/>
      <c r="H44" s="50">
        <f t="shared" si="0"/>
        <v>2.8050490883590462E-2</v>
      </c>
    </row>
    <row r="45" spans="1:8" ht="20.85" customHeight="1" x14ac:dyDescent="0.3">
      <c r="A45" s="23">
        <v>43</v>
      </c>
      <c r="B45" s="25" t="s">
        <v>94</v>
      </c>
      <c r="C45" s="13" t="s">
        <v>3</v>
      </c>
      <c r="D45" s="9" t="s">
        <v>1</v>
      </c>
      <c r="E45" s="14">
        <v>843</v>
      </c>
      <c r="F45" s="10">
        <v>3.1</v>
      </c>
      <c r="G45" s="11"/>
      <c r="H45" s="50">
        <f t="shared" si="0"/>
        <v>4.8309178743961352E-2</v>
      </c>
    </row>
    <row r="46" spans="1:8" ht="20.85" customHeight="1" x14ac:dyDescent="0.3">
      <c r="A46" s="23">
        <v>44</v>
      </c>
      <c r="B46" s="25" t="s">
        <v>46</v>
      </c>
      <c r="C46" s="13" t="s">
        <v>3</v>
      </c>
      <c r="D46" s="9" t="s">
        <v>1</v>
      </c>
      <c r="E46" s="14">
        <v>844</v>
      </c>
      <c r="F46" s="10">
        <v>0.8</v>
      </c>
      <c r="G46" s="11"/>
      <c r="H46" s="50">
        <f t="shared" si="0"/>
        <v>1.2466884837151318E-2</v>
      </c>
    </row>
    <row r="47" spans="1:8" ht="20.85" customHeight="1" x14ac:dyDescent="0.3">
      <c r="A47" s="34"/>
      <c r="B47" s="35"/>
      <c r="C47" s="36"/>
      <c r="D47" s="33"/>
      <c r="E47" s="37"/>
      <c r="F47" s="38"/>
      <c r="G47" s="39"/>
      <c r="H47" s="50"/>
    </row>
    <row r="48" spans="1:8" ht="20.85" customHeight="1" x14ac:dyDescent="0.3">
      <c r="A48" s="5">
        <v>1</v>
      </c>
      <c r="B48" s="32" t="s">
        <v>23</v>
      </c>
      <c r="C48" s="6" t="s">
        <v>26</v>
      </c>
      <c r="D48" s="6" t="s">
        <v>5</v>
      </c>
      <c r="E48" s="6">
        <v>855</v>
      </c>
      <c r="F48" s="6">
        <v>0.14000000000000001</v>
      </c>
      <c r="G48" s="19"/>
      <c r="H48" s="50">
        <f t="shared" si="0"/>
        <v>2.1817048465014805E-3</v>
      </c>
    </row>
    <row r="49" spans="1:8" ht="20.85" customHeight="1" x14ac:dyDescent="0.3">
      <c r="A49" s="5">
        <v>2</v>
      </c>
      <c r="B49" s="32" t="s">
        <v>25</v>
      </c>
      <c r="C49" s="6" t="s">
        <v>26</v>
      </c>
      <c r="D49" s="6" t="s">
        <v>5</v>
      </c>
      <c r="E49" s="6">
        <v>856</v>
      </c>
      <c r="F49" s="6">
        <v>0.14000000000000001</v>
      </c>
      <c r="G49" s="19"/>
      <c r="H49" s="50">
        <f t="shared" si="0"/>
        <v>2.1817048465014805E-3</v>
      </c>
    </row>
    <row r="50" spans="1:8" ht="20.85" customHeight="1" x14ac:dyDescent="0.3">
      <c r="A50" s="5">
        <v>3</v>
      </c>
      <c r="B50" s="32" t="s">
        <v>24</v>
      </c>
      <c r="C50" s="6" t="s">
        <v>26</v>
      </c>
      <c r="D50" s="6" t="s">
        <v>5</v>
      </c>
      <c r="E50" s="6">
        <v>857</v>
      </c>
      <c r="F50" s="6">
        <v>0.27</v>
      </c>
      <c r="G50" s="19"/>
      <c r="H50" s="50">
        <f t="shared" si="0"/>
        <v>4.2075736325385693E-3</v>
      </c>
    </row>
    <row r="51" spans="1:8" ht="20.85" customHeight="1" x14ac:dyDescent="0.3">
      <c r="A51" s="5">
        <v>4</v>
      </c>
      <c r="B51" s="15" t="s">
        <v>35</v>
      </c>
      <c r="C51" s="16" t="s">
        <v>26</v>
      </c>
      <c r="D51" s="16" t="s">
        <v>5</v>
      </c>
      <c r="E51" s="17">
        <v>861</v>
      </c>
      <c r="F51" s="16">
        <v>0.18</v>
      </c>
      <c r="G51" s="18"/>
      <c r="H51" s="50">
        <f t="shared" si="0"/>
        <v>2.8050490883590462E-3</v>
      </c>
    </row>
    <row r="52" spans="1:8" ht="20.85" customHeight="1" x14ac:dyDescent="0.3">
      <c r="A52" s="5">
        <v>5</v>
      </c>
      <c r="B52" s="15" t="s">
        <v>36</v>
      </c>
      <c r="C52" s="16" t="s">
        <v>26</v>
      </c>
      <c r="D52" s="16" t="s">
        <v>5</v>
      </c>
      <c r="E52" s="17">
        <v>862</v>
      </c>
      <c r="F52" s="16">
        <v>0.15</v>
      </c>
      <c r="G52" s="19"/>
      <c r="H52" s="50">
        <f t="shared" si="0"/>
        <v>2.3375409069658717E-3</v>
      </c>
    </row>
    <row r="53" spans="1:8" ht="20.85" customHeight="1" x14ac:dyDescent="0.3">
      <c r="A53" s="5">
        <v>6</v>
      </c>
      <c r="B53" s="15" t="s">
        <v>32</v>
      </c>
      <c r="C53" s="16" t="s">
        <v>26</v>
      </c>
      <c r="D53" s="16" t="s">
        <v>5</v>
      </c>
      <c r="E53" s="17">
        <v>864</v>
      </c>
      <c r="F53" s="16">
        <v>0.15</v>
      </c>
      <c r="G53" s="20"/>
      <c r="H53" s="50">
        <f t="shared" si="0"/>
        <v>2.3375409069658717E-3</v>
      </c>
    </row>
    <row r="54" spans="1:8" ht="20.85" customHeight="1" x14ac:dyDescent="0.3">
      <c r="A54" s="5">
        <v>7</v>
      </c>
      <c r="B54" s="15" t="s">
        <v>28</v>
      </c>
      <c r="C54" s="16" t="s">
        <v>26</v>
      </c>
      <c r="D54" s="16" t="s">
        <v>5</v>
      </c>
      <c r="E54" s="17">
        <v>865</v>
      </c>
      <c r="F54" s="16">
        <v>0.17</v>
      </c>
      <c r="G54" s="20"/>
      <c r="H54" s="50">
        <f t="shared" si="0"/>
        <v>2.649213027894655E-3</v>
      </c>
    </row>
    <row r="55" spans="1:8" ht="20.85" customHeight="1" x14ac:dyDescent="0.3">
      <c r="A55" s="5">
        <v>8</v>
      </c>
      <c r="B55" s="15" t="s">
        <v>30</v>
      </c>
      <c r="C55" s="16" t="s">
        <v>26</v>
      </c>
      <c r="D55" s="16" t="s">
        <v>5</v>
      </c>
      <c r="E55" s="17">
        <v>866</v>
      </c>
      <c r="F55" s="16">
        <v>0.17</v>
      </c>
      <c r="G55" s="20"/>
      <c r="H55" s="50">
        <f t="shared" si="0"/>
        <v>2.649213027894655E-3</v>
      </c>
    </row>
    <row r="56" spans="1:8" ht="20.85" customHeight="1" x14ac:dyDescent="0.3">
      <c r="A56" s="5">
        <v>9</v>
      </c>
      <c r="B56" s="15" t="s">
        <v>31</v>
      </c>
      <c r="C56" s="16" t="s">
        <v>26</v>
      </c>
      <c r="D56" s="16" t="s">
        <v>5</v>
      </c>
      <c r="E56" s="17">
        <v>867</v>
      </c>
      <c r="F56" s="16">
        <v>0.17</v>
      </c>
      <c r="G56" s="20"/>
      <c r="H56" s="50">
        <f t="shared" si="0"/>
        <v>2.649213027894655E-3</v>
      </c>
    </row>
    <row r="57" spans="1:8" ht="20.85" customHeight="1" x14ac:dyDescent="0.3">
      <c r="A57" s="5">
        <v>10</v>
      </c>
      <c r="B57" s="15" t="s">
        <v>70</v>
      </c>
      <c r="C57" s="16" t="s">
        <v>26</v>
      </c>
      <c r="D57" s="16" t="s">
        <v>5</v>
      </c>
      <c r="E57" s="17">
        <v>868</v>
      </c>
      <c r="F57" s="16">
        <v>0.18</v>
      </c>
      <c r="G57" s="20"/>
      <c r="H57" s="50">
        <f t="shared" si="0"/>
        <v>2.8050490883590462E-3</v>
      </c>
    </row>
    <row r="58" spans="1:8" ht="20.85" customHeight="1" x14ac:dyDescent="0.3">
      <c r="A58" s="5">
        <v>11</v>
      </c>
      <c r="B58" s="15" t="s">
        <v>45</v>
      </c>
      <c r="C58" s="16" t="s">
        <v>26</v>
      </c>
      <c r="D58" s="16" t="s">
        <v>5</v>
      </c>
      <c r="E58" s="17">
        <v>869</v>
      </c>
      <c r="F58" s="16">
        <v>0.18</v>
      </c>
      <c r="G58" s="20"/>
      <c r="H58" s="50">
        <f t="shared" si="0"/>
        <v>2.8050490883590462E-3</v>
      </c>
    </row>
    <row r="59" spans="1:8" ht="20.85" customHeight="1" x14ac:dyDescent="0.3">
      <c r="A59" s="5">
        <v>12</v>
      </c>
      <c r="B59" s="15" t="s">
        <v>29</v>
      </c>
      <c r="C59" s="16" t="s">
        <v>26</v>
      </c>
      <c r="D59" s="16" t="s">
        <v>5</v>
      </c>
      <c r="E59" s="17">
        <v>870</v>
      </c>
      <c r="F59" s="16">
        <v>0.15</v>
      </c>
      <c r="G59" s="20"/>
      <c r="H59" s="50">
        <f t="shared" si="0"/>
        <v>2.3375409069658717E-3</v>
      </c>
    </row>
    <row r="60" spans="1:8" ht="20.85" customHeight="1" x14ac:dyDescent="0.3">
      <c r="A60" s="5">
        <v>13</v>
      </c>
      <c r="B60" s="15" t="s">
        <v>71</v>
      </c>
      <c r="C60" s="16" t="s">
        <v>26</v>
      </c>
      <c r="D60" s="16" t="s">
        <v>5</v>
      </c>
      <c r="E60" s="17">
        <v>871</v>
      </c>
      <c r="F60" s="16">
        <v>0.17</v>
      </c>
      <c r="G60" s="20"/>
      <c r="H60" s="50">
        <f t="shared" si="0"/>
        <v>2.649213027894655E-3</v>
      </c>
    </row>
    <row r="61" spans="1:8" ht="20.85" customHeight="1" x14ac:dyDescent="0.3">
      <c r="A61" s="5">
        <v>14</v>
      </c>
      <c r="B61" s="15" t="s">
        <v>27</v>
      </c>
      <c r="C61" s="16" t="s">
        <v>26</v>
      </c>
      <c r="D61" s="16" t="s">
        <v>5</v>
      </c>
      <c r="E61" s="17">
        <v>872</v>
      </c>
      <c r="F61" s="16">
        <v>0.15</v>
      </c>
      <c r="G61" s="20"/>
      <c r="H61" s="50">
        <f t="shared" si="0"/>
        <v>2.3375409069658717E-3</v>
      </c>
    </row>
    <row r="62" spans="1:8" ht="20.85" customHeight="1" x14ac:dyDescent="0.3">
      <c r="A62" s="5">
        <v>15</v>
      </c>
      <c r="B62" s="15" t="s">
        <v>44</v>
      </c>
      <c r="C62" s="16" t="s">
        <v>26</v>
      </c>
      <c r="D62" s="16" t="s">
        <v>5</v>
      </c>
      <c r="E62" s="17">
        <v>873</v>
      </c>
      <c r="F62" s="16">
        <v>0.19</v>
      </c>
      <c r="G62" s="20"/>
      <c r="H62" s="50">
        <f t="shared" si="0"/>
        <v>2.9608851488234379E-3</v>
      </c>
    </row>
    <row r="63" spans="1:8" ht="20.85" customHeight="1" x14ac:dyDescent="0.3">
      <c r="A63" s="5">
        <v>16</v>
      </c>
      <c r="B63" s="15" t="s">
        <v>33</v>
      </c>
      <c r="C63" s="16" t="s">
        <v>26</v>
      </c>
      <c r="D63" s="16" t="s">
        <v>5</v>
      </c>
      <c r="E63" s="17">
        <v>874</v>
      </c>
      <c r="F63" s="16">
        <v>0.15</v>
      </c>
      <c r="G63" s="20"/>
      <c r="H63" s="50">
        <f t="shared" si="0"/>
        <v>2.3375409069658717E-3</v>
      </c>
    </row>
    <row r="64" spans="1:8" ht="20.85" customHeight="1" x14ac:dyDescent="0.3">
      <c r="A64" s="5">
        <v>17</v>
      </c>
      <c r="B64" s="15" t="s">
        <v>34</v>
      </c>
      <c r="C64" s="16" t="s">
        <v>26</v>
      </c>
      <c r="D64" s="16" t="s">
        <v>5</v>
      </c>
      <c r="E64" s="17">
        <v>876</v>
      </c>
      <c r="F64" s="16">
        <v>0.15</v>
      </c>
      <c r="G64" s="20"/>
      <c r="H64" s="50">
        <f t="shared" si="0"/>
        <v>2.3375409069658717E-3</v>
      </c>
    </row>
    <row r="65" spans="1:9" ht="20.85" customHeight="1" x14ac:dyDescent="0.3">
      <c r="A65" s="51"/>
      <c r="B65" s="52"/>
      <c r="C65" s="53"/>
      <c r="D65" s="53"/>
      <c r="E65" s="54"/>
      <c r="F65" s="53"/>
      <c r="G65" s="55"/>
      <c r="H65" s="50"/>
    </row>
    <row r="66" spans="1:9" ht="20.85" customHeight="1" x14ac:dyDescent="0.3">
      <c r="A66" s="5">
        <v>1</v>
      </c>
      <c r="B66" s="15" t="s">
        <v>86</v>
      </c>
      <c r="C66" s="16"/>
      <c r="D66" s="16"/>
      <c r="E66" s="17"/>
      <c r="F66" s="16">
        <v>1.6</v>
      </c>
      <c r="G66" s="20"/>
      <c r="H66" s="50">
        <f t="shared" si="0"/>
        <v>2.4933769674302636E-2</v>
      </c>
      <c r="I66" s="1" t="s">
        <v>88</v>
      </c>
    </row>
    <row r="67" spans="1:9" ht="20.85" customHeight="1" x14ac:dyDescent="0.3">
      <c r="A67" s="5">
        <v>2</v>
      </c>
      <c r="B67" s="15" t="s">
        <v>87</v>
      </c>
      <c r="C67" s="16"/>
      <c r="D67" s="16"/>
      <c r="E67" s="17"/>
      <c r="F67" s="16">
        <v>1.5</v>
      </c>
      <c r="G67" s="20"/>
      <c r="H67" s="50">
        <f t="shared" ref="H67" si="1">F67/$M$7</f>
        <v>2.337540906965872E-2</v>
      </c>
      <c r="I67" s="1" t="s">
        <v>89</v>
      </c>
    </row>
    <row r="68" spans="1:9" ht="20.85" customHeight="1" x14ac:dyDescent="0.3">
      <c r="A68" s="56"/>
      <c r="B68" s="57" t="s">
        <v>90</v>
      </c>
      <c r="C68" s="58"/>
      <c r="D68" s="58"/>
      <c r="E68" s="59"/>
      <c r="F68" s="60">
        <f>SUM(F3:F67)</f>
        <v>65.42</v>
      </c>
      <c r="G68" s="20"/>
      <c r="H68" s="50"/>
    </row>
    <row r="69" spans="1:9" ht="20.85" customHeight="1" x14ac:dyDescent="0.3"/>
    <row r="70" spans="1:9" ht="20.85" customHeight="1" x14ac:dyDescent="0.3"/>
    <row r="71" spans="1:9" ht="20.85" customHeight="1" x14ac:dyDescent="0.3"/>
    <row r="72" spans="1:9" ht="20.85" customHeight="1" x14ac:dyDescent="0.3"/>
    <row r="73" spans="1:9" ht="20.85" customHeight="1" x14ac:dyDescent="0.3"/>
    <row r="74" spans="1:9" ht="20.85" customHeight="1" x14ac:dyDescent="0.3"/>
    <row r="75" spans="1:9" ht="20.85" customHeight="1" x14ac:dyDescent="0.3"/>
    <row r="76" spans="1:9" ht="20.85" customHeight="1" x14ac:dyDescent="0.3"/>
    <row r="77" spans="1:9" ht="20.85" customHeight="1" x14ac:dyDescent="0.3"/>
    <row r="78" spans="1:9" ht="20.85" customHeight="1" x14ac:dyDescent="0.3"/>
    <row r="79" spans="1:9" ht="20.85" customHeight="1" x14ac:dyDescent="0.3"/>
    <row r="80" spans="1:9" ht="20.85" customHeight="1" x14ac:dyDescent="0.3"/>
    <row r="81" ht="20.85" customHeight="1" x14ac:dyDescent="0.3"/>
    <row r="82" ht="20.85" customHeight="1" x14ac:dyDescent="0.3"/>
    <row r="83" ht="20.85" customHeight="1" x14ac:dyDescent="0.3"/>
    <row r="84" ht="20.85" customHeight="1" x14ac:dyDescent="0.3"/>
    <row r="85" ht="20.85" customHeight="1" x14ac:dyDescent="0.3"/>
    <row r="86" ht="20.85" customHeight="1" x14ac:dyDescent="0.3"/>
    <row r="87" ht="20.85" customHeight="1" x14ac:dyDescent="0.3"/>
    <row r="88" ht="20.85" customHeight="1" x14ac:dyDescent="0.3"/>
    <row r="89" ht="20.85" customHeight="1" x14ac:dyDescent="0.3"/>
    <row r="90" ht="20.85" customHeight="1" x14ac:dyDescent="0.3"/>
    <row r="91" ht="20.85" customHeight="1" x14ac:dyDescent="0.3"/>
    <row r="92" ht="20.85" customHeight="1" x14ac:dyDescent="0.3"/>
    <row r="93" ht="20.85" customHeight="1" x14ac:dyDescent="0.3"/>
    <row r="94" ht="20.85" customHeight="1" x14ac:dyDescent="0.3"/>
    <row r="95" ht="20.85" customHeight="1" x14ac:dyDescent="0.3"/>
    <row r="96" ht="20.85" customHeight="1" x14ac:dyDescent="0.3"/>
    <row r="97" ht="20.85" customHeight="1" x14ac:dyDescent="0.3"/>
    <row r="98" ht="20.85" customHeight="1" x14ac:dyDescent="0.3"/>
    <row r="99" ht="20.85" customHeight="1" x14ac:dyDescent="0.3"/>
    <row r="100" ht="20.85" customHeight="1" x14ac:dyDescent="0.3"/>
    <row r="101" ht="20.85" customHeight="1" x14ac:dyDescent="0.3"/>
    <row r="102" ht="20.85" customHeight="1" x14ac:dyDescent="0.3"/>
    <row r="103" ht="20.85" customHeight="1" x14ac:dyDescent="0.3"/>
    <row r="104" ht="20.85" customHeight="1" x14ac:dyDescent="0.3"/>
    <row r="105" ht="20.85" customHeight="1" x14ac:dyDescent="0.3"/>
    <row r="106" ht="20.85" customHeight="1" x14ac:dyDescent="0.3"/>
    <row r="107" ht="20.85" customHeight="1" x14ac:dyDescent="0.3"/>
    <row r="108" ht="20.85" customHeight="1" x14ac:dyDescent="0.3"/>
    <row r="109" ht="20.85" customHeight="1" x14ac:dyDescent="0.3"/>
    <row r="110" ht="20.85" customHeight="1" x14ac:dyDescent="0.3"/>
    <row r="111" ht="20.85" customHeight="1" x14ac:dyDescent="0.3"/>
    <row r="112" ht="20.85" customHeight="1" x14ac:dyDescent="0.3"/>
    <row r="113" ht="20.85" customHeight="1" x14ac:dyDescent="0.3"/>
    <row r="114" ht="20.85" customHeight="1" x14ac:dyDescent="0.3"/>
    <row r="115" ht="20.85" customHeight="1" x14ac:dyDescent="0.3"/>
    <row r="116" ht="20.85" customHeight="1" x14ac:dyDescent="0.3"/>
    <row r="117" ht="20.85" customHeight="1" x14ac:dyDescent="0.3"/>
    <row r="118" ht="20.85" customHeight="1" x14ac:dyDescent="0.3"/>
    <row r="119" ht="20.85" customHeight="1" x14ac:dyDescent="0.3"/>
    <row r="120" ht="20.85" customHeight="1" x14ac:dyDescent="0.3"/>
    <row r="121" ht="20.85" customHeight="1" x14ac:dyDescent="0.3"/>
    <row r="122" ht="20.85" customHeight="1" x14ac:dyDescent="0.3"/>
    <row r="123" ht="20.85" customHeight="1" x14ac:dyDescent="0.3"/>
    <row r="124" ht="20.85" customHeight="1" x14ac:dyDescent="0.3"/>
    <row r="125" ht="20.85" customHeight="1" x14ac:dyDescent="0.3"/>
    <row r="126" ht="20.85" customHeight="1" x14ac:dyDescent="0.3"/>
    <row r="127" ht="20.85" customHeight="1" x14ac:dyDescent="0.3"/>
    <row r="128" ht="20.85" customHeight="1" x14ac:dyDescent="0.3"/>
    <row r="129" ht="20.85" customHeight="1" x14ac:dyDescent="0.3"/>
    <row r="130" ht="20.85" customHeight="1" x14ac:dyDescent="0.3"/>
    <row r="131" ht="20.85" customHeight="1" x14ac:dyDescent="0.3"/>
    <row r="132" ht="20.85" customHeight="1" x14ac:dyDescent="0.3"/>
    <row r="133" ht="20.85" customHeight="1" x14ac:dyDescent="0.3"/>
    <row r="134" ht="20.85" customHeight="1" x14ac:dyDescent="0.3"/>
    <row r="135" ht="20.85" customHeight="1" x14ac:dyDescent="0.3"/>
    <row r="136" ht="20.85" customHeight="1" x14ac:dyDescent="0.3"/>
    <row r="137" ht="20.85" customHeight="1" x14ac:dyDescent="0.3"/>
    <row r="138" ht="20.85" customHeight="1" x14ac:dyDescent="0.3"/>
    <row r="139" ht="20.85" customHeight="1" x14ac:dyDescent="0.3"/>
    <row r="140" ht="20.85" customHeight="1" x14ac:dyDescent="0.3"/>
    <row r="141" ht="20.85" customHeight="1" x14ac:dyDescent="0.3"/>
    <row r="142" ht="20.85" customHeight="1" x14ac:dyDescent="0.3"/>
    <row r="143" ht="20.85" customHeight="1" x14ac:dyDescent="0.3"/>
    <row r="144" ht="20.85" customHeight="1" x14ac:dyDescent="0.3"/>
    <row r="145" ht="20.85" customHeight="1" x14ac:dyDescent="0.3"/>
    <row r="146" ht="20.85" customHeight="1" x14ac:dyDescent="0.3"/>
    <row r="147" ht="20.85" customHeight="1" x14ac:dyDescent="0.3"/>
    <row r="148" ht="20.85" customHeight="1" x14ac:dyDescent="0.3"/>
    <row r="149" ht="20.85" customHeight="1" x14ac:dyDescent="0.3"/>
    <row r="150" ht="20.85" customHeight="1" x14ac:dyDescent="0.3"/>
    <row r="151" ht="20.85" customHeight="1" x14ac:dyDescent="0.3"/>
    <row r="152" ht="20.85" customHeight="1" x14ac:dyDescent="0.3"/>
    <row r="153" ht="20.85" customHeight="1" x14ac:dyDescent="0.3"/>
    <row r="154" ht="20.85" customHeight="1" x14ac:dyDescent="0.3"/>
    <row r="155" ht="20.85" customHeight="1" x14ac:dyDescent="0.3"/>
  </sheetData>
  <autoFilter ref="A2:G64" xr:uid="{00000000-0001-0000-0300-000000000000}"/>
  <mergeCells count="1">
    <mergeCell ref="A1:G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Dũng</cp:lastModifiedBy>
  <dcterms:created xsi:type="dcterms:W3CDTF">2023-06-26T04:09:32Z</dcterms:created>
  <dcterms:modified xsi:type="dcterms:W3CDTF">2026-08-28T09:18:51Z</dcterms:modified>
</cp:coreProperties>
</file>